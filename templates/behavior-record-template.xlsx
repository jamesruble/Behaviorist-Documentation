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Dashboard" sheetId="1" r:id="rId1"/>
    <sheet name="Day Records" sheetId="2" r:id="rId2"/>
    <sheet name="Interval Data" sheetId="3" r:id="rId3"/>
    <sheet name="Daily Summary" sheetId="4" r:id="rId4"/>
    <sheet name="Behavior Trends" sheetId="5" r:id="rId5"/>
    <sheet name="Clinical Notes" sheetId="6" r:id="rId6"/>
    <sheet name="Signatures" sheetId="7" r:id="rId7"/>
    <sheet name="Definitions &amp; Directions" sheetId="8" r:id="rId8"/>
    <sheet name="_App Metadata" sheetId="9" state="hidden" r:id="rId9"/>
  </sheets>
  <definedNames>
    <definedName name="_xlnm.Print_Titles" localSheetId="6">Signatures!$1:$1</definedName>
  </definedNames>
  <calcPr calcId="124519" fullCalcOnLoad="1"/>
</workbook>
</file>

<file path=xl/sharedStrings.xml><?xml version="1.0" encoding="utf-8"?>
<sst xmlns="http://schemas.openxmlformats.org/spreadsheetml/2006/main" count="218" uniqueCount="94">
  <si>
    <t>Behavior Data Collection — Student Dashboard</t>
  </si>
  <si>
    <t>Longitudinal student record, clinical overview, signatures, and progress monitoring</t>
  </si>
  <si>
    <t>Student</t>
  </si>
  <si>
    <t>Sample Student</t>
  </si>
  <si>
    <t>Date of Birth</t>
  </si>
  <si>
    <t>2015-05-10</t>
  </si>
  <si>
    <t>Program / Site</t>
  </si>
  <si>
    <t>Upper School</t>
  </si>
  <si>
    <t>Behavior Analyst</t>
  </si>
  <si>
    <t>Jane Doe, BCBA</t>
  </si>
  <si>
    <t>Days Collected</t>
  </si>
  <si>
    <t>Last Updated</t>
  </si>
  <si>
    <t>2026-07-28</t>
  </si>
  <si>
    <t>Current Goal</t>
  </si>
  <si>
    <t>Reduce aggression below 2 per day</t>
  </si>
  <si>
    <t>Intervention / Phase</t>
  </si>
  <si>
    <t>Functional Communication Training</t>
  </si>
  <si>
    <t>Aggression — Latest Day</t>
  </si>
  <si>
    <t>SIB — Latest Day</t>
  </si>
  <si>
    <t>Screaming — Latest Day</t>
  </si>
  <si>
    <t>Current Goal / Criterion</t>
  </si>
  <si>
    <t>Date</t>
  </si>
  <si>
    <t>Staff Member</t>
  </si>
  <si>
    <t>Status</t>
  </si>
  <si>
    <t>Arrival</t>
  </si>
  <si>
    <t>Dismissal</t>
  </si>
  <si>
    <t>Interval Length (Minutes)</t>
  </si>
  <si>
    <t>Frequency Entry Method</t>
  </si>
  <si>
    <t>Aggression Daily Total</t>
  </si>
  <si>
    <t>SIB Daily Total</t>
  </si>
  <si>
    <t>Daily Notes</t>
  </si>
  <si>
    <t>Supervisor Feedback</t>
  </si>
  <si>
    <t>Alex RBT</t>
  </si>
  <si>
    <t>Reviewed</t>
  </si>
  <si>
    <t>08:30</t>
  </si>
  <si>
    <t>15:30</t>
  </si>
  <si>
    <t>Daily total</t>
  </si>
  <si>
    <t>Sample note</t>
  </si>
  <si>
    <t>Continue plan</t>
  </si>
  <si>
    <t>Submitted</t>
  </si>
  <si>
    <t>Second day</t>
  </si>
  <si>
    <t>Interval</t>
  </si>
  <si>
    <t>Start Time</t>
  </si>
  <si>
    <t>End Minute</t>
  </si>
  <si>
    <t>Aggression Interval Tally</t>
  </si>
  <si>
    <t>SIB Interval Tally</t>
  </si>
  <si>
    <t>Screaming (+/-/Ø)</t>
  </si>
  <si>
    <t>Interval Note</t>
  </si>
  <si>
    <t>8:30–8:35</t>
  </si>
  <si>
    <t>+</t>
  </si>
  <si>
    <t>8:35–8:40</t>
  </si>
  <si>
    <t>08:35</t>
  </si>
  <si>
    <t>-</t>
  </si>
  <si>
    <t>Behavior Data Collection — Continuing Student Summary</t>
  </si>
  <si>
    <t>Editable source data is stored in Day Records and Interval Data. Formulas below recalculate in Excel.</t>
  </si>
  <si>
    <t>Frequency Method</t>
  </si>
  <si>
    <t>Aggression Total</t>
  </si>
  <si>
    <t>SIB Total</t>
  </si>
  <si>
    <t>Observed (+)</t>
  </si>
  <si>
    <t>Not Observed (-)</t>
  </si>
  <si>
    <t>No Data (Ø)</t>
  </si>
  <si>
    <t>Valid Intervals</t>
  </si>
  <si>
    <t>% Intervals With Behavior</t>
  </si>
  <si>
    <t>Percentage formula: observed (+) intervals divided by present/collected intervals (+ and -). Ø intervals are excluded.</t>
  </si>
  <si>
    <t>Behavior Analysis — Longitudinal Progress Monitoring</t>
  </si>
  <si>
    <t>These are native Excel line charts. Edit Day Records or Interval Data and the chart values recalculate.</t>
  </si>
  <si>
    <t>Frequency behaviors are graphed as one total per day. +/- data is graphed as the percentage of intervals in which the behavior occurred, using only present/collected intervals in the denominator. Ø is excluded.</t>
  </si>
  <si>
    <t>Signature &amp; Review Status</t>
  </si>
  <si>
    <t>Latest staff signature</t>
  </si>
  <si>
    <t>Not signed</t>
  </si>
  <si>
    <t>Latest supervisor signature</t>
  </si>
  <si>
    <t>Latest record status</t>
  </si>
  <si>
    <t>Latest staff member</t>
  </si>
  <si>
    <t>Use the Behavior Trends tab for full-size graphs. Use Clinical Notes for longitudinal documentation and Signatures for the printable audit trail.</t>
  </si>
  <si>
    <t>Daily Staff Notes</t>
  </si>
  <si>
    <t>Supervisor / BCBA Feedback</t>
  </si>
  <si>
    <t>Record Status</t>
  </si>
  <si>
    <t>Staff Signature</t>
  </si>
  <si>
    <t>Staff Signed At</t>
  </si>
  <si>
    <t>Supervisor Signature</t>
  </si>
  <si>
    <t>Supervisor Signed At</t>
  </si>
  <si>
    <t>Behavior</t>
  </si>
  <si>
    <t>Data Type</t>
  </si>
  <si>
    <t>Operational Definition / Direction</t>
  </si>
  <si>
    <t>Aggression</t>
  </si>
  <si>
    <t>Frequency tally</t>
  </si>
  <si>
    <t>Hitting others with an open hand, closed hand, or object. Enter one total for the day unless isolated time-block analysis is required.</t>
  </si>
  <si>
    <t>Self-Injurious Behavior</t>
  </si>
  <si>
    <t>Hitting their own head with an open hand, closed hand, or object. Enter one total for the day unless isolated time-block analysis is required.</t>
  </si>
  <si>
    <t>Screaming</t>
  </si>
  <si>
    <t>+ / - / Ø</t>
  </si>
  <si>
    <t>Use + when observed, - when not observed, and Ø when the student was absent or data was not collected. Percentage = + divided by (+ and -). Ø is excluded.</t>
  </si>
  <si>
    <t>Behavior Data Continuing Record Metadata</t>
  </si>
  <si>
    <t>{"version": 3, "signatures": {"2026-07-27": {"staff": "", "supervisor": ""}, "2026-07-28": {"staff": "", "supervisor": ""}}}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</si>
</sst>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mm/dd/yyyy"/>
  </numFmts>
  <fonts count="10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1"/>
      <color rgb="FF64748B"/>
      <name val="Calibri"/>
      <family val="2"/>
      <scheme val="minor"/>
    </font>
    <font>
      <b/>
      <sz val="11"/>
      <color rgb="FF172033"/>
      <name val="Calibri"/>
      <family val="2"/>
      <scheme val="minor"/>
    </font>
    <font>
      <b/>
      <sz val="22"/>
      <color rgb="FF123A6D"/>
      <name val="Calibri"/>
      <family val="2"/>
      <scheme val="minor"/>
    </font>
    <font>
      <b/>
      <sz val="22"/>
      <color rgb="FF0B5D8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1720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23A6D"/>
        <bgColor indexed="64"/>
      </patternFill>
    </fill>
    <fill>
      <patternFill patternType="solid">
        <fgColor rgb="FFEEF4FB"/>
        <bgColor indexed="64"/>
      </patternFill>
    </fill>
    <fill>
      <patternFill patternType="solid">
        <fgColor rgb="FF0B5D8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vertical="top" wrapText="1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5" borderId="1" xfId="0" applyFont="1" applyFill="1" applyBorder="1" applyAlignment="1">
      <alignment vertical="top"/>
    </xf>
    <xf numFmtId="0" fontId="9" fillId="5" borderId="1" xfId="0" applyFont="1" applyFill="1" applyBorder="1" applyAlignment="1">
      <alignment vertical="top" wrapText="1"/>
    </xf>
    <xf numFmtId="165" fontId="0" fillId="5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C2D58"/>
                </a:solidFill>
              </a:defRPr>
            </a:pPr>
            <a:r>
              <a:rPr lang="en-US" sz="1100" b="1" baseline="0">
                <a:solidFill>
                  <a:srgbClr val="0C2D58"/>
                </a:solidFill>
              </a:rPr>
              <a:t>Aggression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Aggression Trend</c:v>
          </c:tx>
          <c:spPr>
            <a:ln w="22225">
              <a:solidFill>
                <a:srgbClr val="123A6D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123A6D"/>
                </a:solidFill>
              </a:ln>
            </c:spPr>
          </c:marker>
          <c:cat>
            <c:strRef>
              <c:f>'Daily Summary'!$B$6:$B$1005</c:f>
              <c:strCache>
                <c:ptCount val="1000"/>
                <c:pt idx="0">
                  <c:v>0</c:v>
                </c:pt>
                <c:pt idx="1">
                  <c:v>0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</c:strCache>
            </c:strRef>
          </c:cat>
          <c:val>
            <c:numRef>
              <c:f>'Daily Summary'!$F$6:$F$1005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numFmt formatCode="m/d" sourceLinked="0"/>
        <c:tickLblPos val="low"/>
        <c:spPr>
          <a:ln>
            <a:solidFill>
              <a:srgbClr val="CBD5E1"/>
            </a:solidFill>
          </a:ln>
        </c:spPr>
        <c:txPr>
          <a:bodyPr rot="-2700000" vert="horz"/>
          <a:lstStyle/>
          <a:p>
            <a:pPr>
              <a:defRPr sz="800" baseline="0">
                <a:solidFill>
                  <a:srgbClr val="64748B"/>
                </a:solidFill>
              </a:defRPr>
            </a:pPr>
            <a:endParaRPr lang="en-US"/>
          </a:p>
        </c:txPr>
        <c:crossAx val="50010002"/>
        <c:crosses val="autoZero"/>
        <c:auto val="1"/>
        <c:lblOffset val="100"/>
      </c:dateAx>
      <c:valAx>
        <c:axId val="50010002"/>
        <c:scaling>
          <c:orientation val="minMax"/>
          <c:min val="0"/>
        </c:scaling>
        <c:axPos val="l"/>
        <c:majorGridlines>
          <c:spPr>
            <a:ln>
              <a:solidFill>
                <a:srgbClr val="E5EAF0"/>
              </a:solidFill>
            </a:ln>
          </c:spPr>
        </c:majorGridlines>
        <c:numFmt formatCode="0" sourceLinked="0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800" baseline="0">
                <a:solidFill>
                  <a:srgbClr val="64748B"/>
                </a:solidFill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solidFill>
          <a:srgbClr val="FFFFFF"/>
        </a:solidFill>
        <a:ln>
          <a:solidFill>
            <a:srgbClr val="CBD5E1"/>
          </a:solidFill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C2D58"/>
                </a:solidFill>
              </a:defRPr>
            </a:pPr>
            <a:r>
              <a:rPr lang="en-US" sz="1100" b="1" baseline="0">
                <a:solidFill>
                  <a:srgbClr val="0C2D58"/>
                </a:solidFill>
              </a:rPr>
              <a:t>SIB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SIB Trend</c:v>
          </c:tx>
          <c:spPr>
            <a:ln w="22225">
              <a:solidFill>
                <a:srgbClr val="008F83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008F83"/>
                </a:solidFill>
              </a:ln>
            </c:spPr>
          </c:marker>
          <c:cat>
            <c:strRef>
              <c:f>'Daily Summary'!$B$6:$B$1005</c:f>
              <c:strCache>
                <c:ptCount val="1000"/>
                <c:pt idx="0">
                  <c:v>0</c:v>
                </c:pt>
                <c:pt idx="1">
                  <c:v>0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</c:strCache>
            </c:strRef>
          </c:cat>
          <c:val>
            <c:numRef>
              <c:f>'Daily Summary'!$G$6:$G$1005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numFmt formatCode="m/d" sourceLinked="0"/>
        <c:tickLblPos val="low"/>
        <c:spPr>
          <a:ln>
            <a:solidFill>
              <a:srgbClr val="CBD5E1"/>
            </a:solidFill>
          </a:ln>
        </c:spPr>
        <c:txPr>
          <a:bodyPr rot="-2700000" vert="horz"/>
          <a:lstStyle/>
          <a:p>
            <a:pPr>
              <a:defRPr sz="800" baseline="0">
                <a:solidFill>
                  <a:srgbClr val="64748B"/>
                </a:solidFill>
              </a:defRPr>
            </a:pPr>
            <a:endParaRPr lang="en-US"/>
          </a:p>
        </c:txPr>
        <c:crossAx val="50020002"/>
        <c:crosses val="autoZero"/>
        <c:auto val="1"/>
        <c:lblOffset val="100"/>
      </c:dateAx>
      <c:valAx>
        <c:axId val="50020002"/>
        <c:scaling>
          <c:orientation val="minMax"/>
          <c:min val="0"/>
        </c:scaling>
        <c:axPos val="l"/>
        <c:majorGridlines>
          <c:spPr>
            <a:ln>
              <a:solidFill>
                <a:srgbClr val="E5EAF0"/>
              </a:solidFill>
            </a:ln>
          </c:spPr>
        </c:majorGridlines>
        <c:numFmt formatCode="0" sourceLinked="0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800" baseline="0">
                <a:solidFill>
                  <a:srgbClr val="64748B"/>
                </a:solidFill>
              </a:defRPr>
            </a:pPr>
            <a:endParaRPr lang="en-US"/>
          </a:p>
        </c:txPr>
        <c:crossAx val="50020001"/>
        <c:crosses val="autoZero"/>
        <c:crossBetween val="between"/>
        <c:majorUnit val="1"/>
      </c:valAx>
      <c:spPr>
        <a:solidFill>
          <a:srgbClr val="FFFFFF"/>
        </a:solidFill>
        <a:ln>
          <a:solidFill>
            <a:srgbClr val="CBD5E1"/>
          </a:solidFill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C2D58"/>
                </a:solidFill>
              </a:defRPr>
            </a:pPr>
            <a:r>
              <a:rPr lang="en-US" sz="1100" b="1" baseline="0">
                <a:solidFill>
                  <a:srgbClr val="0C2D58"/>
                </a:solidFill>
              </a:rPr>
              <a:t>Screaming %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Screaming % Trend</c:v>
          </c:tx>
          <c:spPr>
            <a:ln w="22225">
              <a:solidFill>
                <a:srgbClr val="0B5D8C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0B5D8C"/>
                </a:solidFill>
              </a:ln>
            </c:spPr>
          </c:marker>
          <c:cat>
            <c:strRef>
              <c:f>'Daily Summary'!$B$6:$B$1005</c:f>
              <c:strCache>
                <c:ptCount val="1000"/>
                <c:pt idx="0">
                  <c:v>0</c:v>
                </c:pt>
                <c:pt idx="1">
                  <c:v>0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</c:strCache>
            </c:strRef>
          </c:cat>
          <c:val>
            <c:numRef>
              <c:f>'Daily Summary'!$L$6:$L$1005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</c:scaling>
        <c:axPos val="b"/>
        <c:numFmt formatCode="m/d" sourceLinked="0"/>
        <c:tickLblPos val="low"/>
        <c:spPr>
          <a:ln>
            <a:solidFill>
              <a:srgbClr val="CBD5E1"/>
            </a:solidFill>
          </a:ln>
        </c:spPr>
        <c:txPr>
          <a:bodyPr rot="-2700000" vert="horz"/>
          <a:lstStyle/>
          <a:p>
            <a:pPr>
              <a:defRPr sz="800" baseline="0">
                <a:solidFill>
                  <a:srgbClr val="64748B"/>
                </a:solidFill>
              </a:defRPr>
            </a:pPr>
            <a:endParaRPr lang="en-US"/>
          </a:p>
        </c:txPr>
        <c:crossAx val="50030002"/>
        <c:crosses val="autoZero"/>
        <c:auto val="1"/>
        <c:lblOffset val="100"/>
      </c:dateAx>
      <c:valAx>
        <c:axId val="5003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E5EAF0"/>
              </a:solidFill>
            </a:ln>
          </c:spPr>
        </c:majorGridlines>
        <c:numFmt formatCode="0%" sourceLinked="0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800" baseline="0">
                <a:solidFill>
                  <a:srgbClr val="64748B"/>
                </a:solidFill>
              </a:defRPr>
            </a:pPr>
            <a:endParaRPr lang="en-US"/>
          </a:p>
        </c:txPr>
        <c:crossAx val="50030001"/>
        <c:crosses val="autoZero"/>
        <c:crossBetween val="between"/>
        <c:majorUnit val="0.2"/>
      </c:valAx>
      <c:spPr>
        <a:solidFill>
          <a:srgbClr val="FFFFFF"/>
        </a:solidFill>
        <a:ln>
          <a:solidFill>
            <a:srgbClr val="CBD5E1"/>
          </a:solidFill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C2D58"/>
                </a:solidFill>
              </a:defRPr>
            </a:pPr>
            <a:r>
              <a:rPr lang="en-US" sz="1400" b="1" baseline="0">
                <a:solidFill>
                  <a:srgbClr val="0C2D58"/>
                </a:solidFill>
              </a:rPr>
              <a:t>Aggression — Daily Frequency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Aggression — Daily Frequency</c:v>
          </c:tx>
          <c:spPr>
            <a:ln w="28575">
              <a:solidFill>
                <a:srgbClr val="123A6D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123A6D"/>
                </a:solidFill>
              </a:ln>
            </c:spPr>
          </c:marker>
          <c:cat>
            <c:strRef>
              <c:f>'Daily Summary'!$B$6:$B$1005</c:f>
              <c:strCache>
                <c:ptCount val="1000"/>
                <c:pt idx="0">
                  <c:v>0</c:v>
                </c:pt>
                <c:pt idx="1">
                  <c:v>0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</c:strCache>
            </c:strRef>
          </c:cat>
          <c:val>
            <c:numRef>
              <c:f>'Daily Summary'!$F$6:$F$1005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marker val="1"/>
        <c:axId val="50040001"/>
        <c:axId val="50040002"/>
      </c:lineChart>
      <c:date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b="1" baseline="0">
                    <a:solidFill>
                      <a:srgbClr val="172033"/>
                    </a:solidFill>
                  </a:defRPr>
                </a:pPr>
                <a:r>
                  <a:rPr lang="en-US" b="1" baseline="0">
                    <a:solidFill>
                      <a:srgbClr val="172033"/>
                    </a:solidFill>
                  </a:rPr>
                  <a:t>Date</a:t>
                </a:r>
              </a:p>
            </c:rich>
          </c:tx>
          <c:layout/>
        </c:title>
        <c:numFmt formatCode="m/d" sourceLinked="0"/>
        <c:tickLblPos val="low"/>
        <c:spPr>
          <a:ln>
            <a:solidFill>
              <a:srgbClr val="CBD5E1"/>
            </a:solidFill>
          </a:ln>
        </c:spPr>
        <c:txPr>
          <a:bodyPr rot="-2700000" vert="horz"/>
          <a:lstStyle/>
          <a:p>
            <a:pPr>
              <a:defRPr baseline="0">
                <a:solidFill>
                  <a:srgbClr val="64748B"/>
                </a:solidFill>
              </a:defRPr>
            </a:pPr>
            <a:endParaRPr lang="en-US"/>
          </a:p>
        </c:txPr>
        <c:crossAx val="50040002"/>
        <c:crosses val="autoZero"/>
        <c:auto val="1"/>
        <c:lblOffset val="100"/>
      </c:dateAx>
      <c:valAx>
        <c:axId val="50040002"/>
        <c:scaling>
          <c:orientation val="minMax"/>
          <c:min val="0"/>
        </c:scaling>
        <c:axPos val="l"/>
        <c:majorGridlines>
          <c:spPr>
            <a:ln>
              <a:solidFill>
                <a:srgbClr val="E5EAF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1" baseline="0">
                    <a:solidFill>
                      <a:srgbClr val="172033"/>
                    </a:solidFill>
                  </a:defRPr>
                </a:pPr>
                <a:r>
                  <a:rPr lang="en-US" b="1" baseline="0">
                    <a:solidFill>
                      <a:srgbClr val="172033"/>
                    </a:solidFill>
                  </a:rPr>
                  <a:t>Frequency</a:t>
                </a:r>
              </a:p>
            </c:rich>
          </c:tx>
          <c:layout/>
        </c:title>
        <c:numFmt formatCode="0" sourceLinked="0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baseline="0">
                <a:solidFill>
                  <a:srgbClr val="64748B"/>
                </a:solidFill>
              </a:defRPr>
            </a:pPr>
            <a:endParaRPr lang="en-US"/>
          </a:p>
        </c:txPr>
        <c:crossAx val="50040001"/>
        <c:crosses val="autoZero"/>
        <c:crossBetween val="between"/>
        <c:majorUnit val="1"/>
      </c:valAx>
      <c:spPr>
        <a:solidFill>
          <a:srgbClr val="FFFFFF"/>
        </a:solidFill>
        <a:ln w="12700">
          <a:solidFill>
            <a:srgbClr val="CBD5E1"/>
          </a:solidFill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C2D58"/>
                </a:solidFill>
              </a:defRPr>
            </a:pPr>
            <a:r>
              <a:rPr lang="en-US" sz="1400" b="1" baseline="0">
                <a:solidFill>
                  <a:srgbClr val="0C2D58"/>
                </a:solidFill>
              </a:rPr>
              <a:t>Self-Injurious Behavior — Daily Frequency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Self-Injurious Behavior — Daily Frequency</c:v>
          </c:tx>
          <c:spPr>
            <a:ln w="28575">
              <a:solidFill>
                <a:srgbClr val="008F83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008F83"/>
                </a:solidFill>
              </a:ln>
            </c:spPr>
          </c:marker>
          <c:cat>
            <c:strRef>
              <c:f>'Daily Summary'!$B$6:$B$1005</c:f>
              <c:strCache>
                <c:ptCount val="1000"/>
                <c:pt idx="0">
                  <c:v>0</c:v>
                </c:pt>
                <c:pt idx="1">
                  <c:v>0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</c:strCache>
            </c:strRef>
          </c:cat>
          <c:val>
            <c:numRef>
              <c:f>'Daily Summary'!$G$6:$G$1005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marker val="1"/>
        <c:axId val="50050001"/>
        <c:axId val="50050002"/>
      </c:lineChart>
      <c:date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b="1" baseline="0">
                    <a:solidFill>
                      <a:srgbClr val="172033"/>
                    </a:solidFill>
                  </a:defRPr>
                </a:pPr>
                <a:r>
                  <a:rPr lang="en-US" b="1" baseline="0">
                    <a:solidFill>
                      <a:srgbClr val="172033"/>
                    </a:solidFill>
                  </a:rPr>
                  <a:t>Date</a:t>
                </a:r>
              </a:p>
            </c:rich>
          </c:tx>
          <c:layout/>
        </c:title>
        <c:numFmt formatCode="m/d" sourceLinked="0"/>
        <c:tickLblPos val="low"/>
        <c:spPr>
          <a:ln>
            <a:solidFill>
              <a:srgbClr val="CBD5E1"/>
            </a:solidFill>
          </a:ln>
        </c:spPr>
        <c:txPr>
          <a:bodyPr rot="-2700000" vert="horz"/>
          <a:lstStyle/>
          <a:p>
            <a:pPr>
              <a:defRPr baseline="0">
                <a:solidFill>
                  <a:srgbClr val="64748B"/>
                </a:solidFill>
              </a:defRPr>
            </a:pPr>
            <a:endParaRPr lang="en-US"/>
          </a:p>
        </c:txPr>
        <c:crossAx val="50050002"/>
        <c:crosses val="autoZero"/>
        <c:auto val="1"/>
        <c:lblOffset val="100"/>
      </c:dateAx>
      <c:valAx>
        <c:axId val="50050002"/>
        <c:scaling>
          <c:orientation val="minMax"/>
          <c:min val="0"/>
        </c:scaling>
        <c:axPos val="l"/>
        <c:majorGridlines>
          <c:spPr>
            <a:ln>
              <a:solidFill>
                <a:srgbClr val="E5EAF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1" baseline="0">
                    <a:solidFill>
                      <a:srgbClr val="172033"/>
                    </a:solidFill>
                  </a:defRPr>
                </a:pPr>
                <a:r>
                  <a:rPr lang="en-US" b="1" baseline="0">
                    <a:solidFill>
                      <a:srgbClr val="172033"/>
                    </a:solidFill>
                  </a:rPr>
                  <a:t>Frequency</a:t>
                </a:r>
              </a:p>
            </c:rich>
          </c:tx>
          <c:layout/>
        </c:title>
        <c:numFmt formatCode="0" sourceLinked="0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baseline="0">
                <a:solidFill>
                  <a:srgbClr val="64748B"/>
                </a:solidFill>
              </a:defRPr>
            </a:pPr>
            <a:endParaRPr lang="en-US"/>
          </a:p>
        </c:txPr>
        <c:crossAx val="50050001"/>
        <c:crosses val="autoZero"/>
        <c:crossBetween val="between"/>
        <c:majorUnit val="1"/>
      </c:valAx>
      <c:spPr>
        <a:solidFill>
          <a:srgbClr val="FFFFFF"/>
        </a:solidFill>
        <a:ln w="12700">
          <a:solidFill>
            <a:srgbClr val="CBD5E1"/>
          </a:solidFill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C2D58"/>
                </a:solidFill>
              </a:defRPr>
            </a:pPr>
            <a:r>
              <a:rPr lang="en-US" sz="1400" b="1" baseline="0">
                <a:solidFill>
                  <a:srgbClr val="0C2D58"/>
                </a:solidFill>
              </a:rPr>
              <a:t>Screaming — Percentage of Present/Collected Intervals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Screaming — Percentage of Present/Collected Intervals</c:v>
          </c:tx>
          <c:spPr>
            <a:ln w="28575">
              <a:solidFill>
                <a:srgbClr val="0B5D8C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0B5D8C"/>
                </a:solidFill>
              </a:ln>
            </c:spPr>
          </c:marker>
          <c:cat>
            <c:strRef>
              <c:f>'Daily Summary'!$B$6:$B$1005</c:f>
              <c:strCache>
                <c:ptCount val="1000"/>
                <c:pt idx="0">
                  <c:v>0</c:v>
                </c:pt>
                <c:pt idx="1">
                  <c:v>0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</c:strCache>
            </c:strRef>
          </c:cat>
          <c:val>
            <c:numRef>
              <c:f>'Daily Summary'!$L$6:$L$1005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marker val="1"/>
        <c:axId val="50060001"/>
        <c:axId val="50060002"/>
      </c:lineChart>
      <c:date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b="1" baseline="0">
                    <a:solidFill>
                      <a:srgbClr val="172033"/>
                    </a:solidFill>
                  </a:defRPr>
                </a:pPr>
                <a:r>
                  <a:rPr lang="en-US" b="1" baseline="0">
                    <a:solidFill>
                      <a:srgbClr val="172033"/>
                    </a:solidFill>
                  </a:rPr>
                  <a:t>Date</a:t>
                </a:r>
              </a:p>
            </c:rich>
          </c:tx>
          <c:layout/>
        </c:title>
        <c:numFmt formatCode="m/d" sourceLinked="0"/>
        <c:tickLblPos val="low"/>
        <c:spPr>
          <a:ln>
            <a:solidFill>
              <a:srgbClr val="CBD5E1"/>
            </a:solidFill>
          </a:ln>
        </c:spPr>
        <c:txPr>
          <a:bodyPr rot="-2700000" vert="horz"/>
          <a:lstStyle/>
          <a:p>
            <a:pPr>
              <a:defRPr baseline="0">
                <a:solidFill>
                  <a:srgbClr val="64748B"/>
                </a:solidFill>
              </a:defRPr>
            </a:pPr>
            <a:endParaRPr lang="en-US"/>
          </a:p>
        </c:txPr>
        <c:crossAx val="50060002"/>
        <c:crosses val="autoZero"/>
        <c:auto val="1"/>
        <c:lblOffset val="100"/>
      </c:dateAx>
      <c:valAx>
        <c:axId val="5006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E5EAF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1" baseline="0">
                    <a:solidFill>
                      <a:srgbClr val="172033"/>
                    </a:solidFill>
                  </a:defRPr>
                </a:pPr>
                <a:r>
                  <a:rPr lang="en-US" b="1" baseline="0">
                    <a:solidFill>
                      <a:srgbClr val="172033"/>
                    </a:solidFill>
                  </a:rPr>
                  <a:t>Percentage</a:t>
                </a:r>
              </a:p>
            </c:rich>
          </c:tx>
          <c:layout/>
        </c:title>
        <c:numFmt formatCode="0%" sourceLinked="0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baseline="0">
                <a:solidFill>
                  <a:srgbClr val="64748B"/>
                </a:solidFill>
              </a:defRPr>
            </a:pPr>
            <a:endParaRPr lang="en-US"/>
          </a:p>
        </c:txPr>
        <c:crossAx val="50060001"/>
        <c:crosses val="autoZero"/>
        <c:crossBetween val="between"/>
        <c:majorUnit val="0.1"/>
      </c:valAx>
      <c:spPr>
        <a:solidFill>
          <a:srgbClr val="FFFFFF"/>
        </a:solidFill>
        <a:ln w="12700">
          <a:solidFill>
            <a:srgbClr val="CBD5E1"/>
          </a:solidFill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14</xdr:row>
      <xdr:rowOff>38100</xdr:rowOff>
    </xdr:from>
    <xdr:to>
      <xdr:col>4</xdr:col>
      <xdr:colOff>428625</xdr:colOff>
      <xdr:row>25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14</xdr:row>
      <xdr:rowOff>38100</xdr:rowOff>
    </xdr:from>
    <xdr:to>
      <xdr:col>12</xdr:col>
      <xdr:colOff>133350</xdr:colOff>
      <xdr:row>25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27</xdr:row>
      <xdr:rowOff>38100</xdr:rowOff>
    </xdr:from>
    <xdr:to>
      <xdr:col>4</xdr:col>
      <xdr:colOff>428625</xdr:colOff>
      <xdr:row>38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7</xdr:row>
      <xdr:rowOff>38100</xdr:rowOff>
    </xdr:from>
    <xdr:to>
      <xdr:col>11</xdr:col>
      <xdr:colOff>400050</xdr:colOff>
      <xdr:row>25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26</xdr:row>
      <xdr:rowOff>38100</xdr:rowOff>
    </xdr:from>
    <xdr:to>
      <xdr:col>11</xdr:col>
      <xdr:colOff>400050</xdr:colOff>
      <xdr:row>44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45</xdr:row>
      <xdr:rowOff>38100</xdr:rowOff>
    </xdr:from>
    <xdr:to>
      <xdr:col>11</xdr:col>
      <xdr:colOff>400050</xdr:colOff>
      <xdr:row>63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ayRecordsTable" displayName="DayRecordsTable" ref="A1:Q3" totalsRowShown="0">
  <autoFilter ref="A1:Q3"/>
  <tableColumns count="17">
    <tableColumn id="1" name="Student"/>
    <tableColumn id="2" name="Date of Birth"/>
    <tableColumn id="3" name="Program / Site"/>
    <tableColumn id="4" name="Behavior Analyst"/>
    <tableColumn id="5" name="Current Goal / Criterion"/>
    <tableColumn id="6" name="Intervention / Phase"/>
    <tableColumn id="7" name="Date"/>
    <tableColumn id="8" name="Staff Member"/>
    <tableColumn id="9" name="Status"/>
    <tableColumn id="10" name="Arrival"/>
    <tableColumn id="11" name="Dismissal"/>
    <tableColumn id="12" name="Interval Length (Minutes)"/>
    <tableColumn id="13" name="Frequency Entry Method"/>
    <tableColumn id="14" name="Aggression Daily Total"/>
    <tableColumn id="15" name="SIB Daily Total"/>
    <tableColumn id="16" name="Daily Notes"/>
    <tableColumn id="17" name="Supervisor Feedba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tervalDataTable" displayName="IntervalDataTable" ref="A1:I5" totalsRowShown="0">
  <autoFilter ref="A1:I5"/>
  <tableColumns count="9">
    <tableColumn id="1" name="Student"/>
    <tableColumn id="2" name="Date"/>
    <tableColumn id="3" name="Interval"/>
    <tableColumn id="4" name="Start Time"/>
    <tableColumn id="5" name="End Minute"/>
    <tableColumn id="6" name="Aggression Interval Tally"/>
    <tableColumn id="7" name="SIB Interval Tally"/>
    <tableColumn id="8" name="Screaming (+/-/Ø)"/>
    <tableColumn id="9" name="Interval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ilySummaryTable" displayName="DailySummaryTable" ref="A5:L7" totalsRowShown="0">
  <autoFilter ref="A5:L7"/>
  <tableColumns count="12">
    <tableColumn id="1" name="Student"/>
    <tableColumn id="2" name="Date"/>
    <tableColumn id="3" name="Staff Member"/>
    <tableColumn id="4" name="Status"/>
    <tableColumn id="5" name="Frequency Method"/>
    <tableColumn id="6" name="Aggression Total"/>
    <tableColumn id="7" name="SIB Total"/>
    <tableColumn id="8" name="Observed (+)"/>
    <tableColumn id="9" name="Not Observed (-)"/>
    <tableColumn id="10" name="No Data (Ø)"/>
    <tableColumn id="11" name="Valid Intervals"/>
    <tableColumn id="12" name="% Intervals With Behavi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linicalNotesTable" displayName="ClinicalNotesTable" ref="A1:G3" totalsRowShown="0">
  <autoFilter ref="A1:G3"/>
  <tableColumns count="7">
    <tableColumn id="1" name="Date"/>
    <tableColumn id="2" name="Student"/>
    <tableColumn id="3" name="Staff Member"/>
    <tableColumn id="4" name="Intervention / Phase"/>
    <tableColumn id="5" name="Daily Staff Notes"/>
    <tableColumn id="6" name="Supervisor / BCBA Feedback"/>
    <tableColumn id="7" name="Record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ignaturesTable" displayName="SignaturesTable" ref="A1:H3" totalsRowShown="0">
  <autoFilter ref="A1:H3"/>
  <tableColumns count="8">
    <tableColumn id="1" name="Date"/>
    <tableColumn id="2" name="Student"/>
    <tableColumn id="3" name="Staff Member"/>
    <tableColumn id="4" name="Staff Signature"/>
    <tableColumn id="5" name="Staff Signed At"/>
    <tableColumn id="6" name="Supervisor Signature"/>
    <tableColumn id="7" name="Supervisor Signed At"/>
    <tableColumn id="8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C2F92"/>
    <pageSetUpPr fitToPage="1"/>
  </sheetPr>
  <dimension ref="B2:N38"/>
  <sheetViews>
    <sheetView showGridLines="0" tabSelected="1" workbookViewId="0"/>
  </sheetViews>
  <sheetFormatPr defaultRowHeight="15"/>
  <cols>
    <col min="1" max="1" width="3.7109375" customWidth="1"/>
    <col min="2" max="3" width="18.7109375" customWidth="1"/>
    <col min="4" max="5" width="16.7109375" customWidth="1"/>
    <col min="6" max="7" width="18.7109375" customWidth="1"/>
    <col min="8" max="14" width="11.7109375" customWidth="1"/>
  </cols>
  <sheetData>
    <row r="2" spans="2:14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6" spans="2:14">
      <c r="B6" s="3" t="s">
        <v>2</v>
      </c>
      <c r="C6" s="4" t="s">
        <v>3</v>
      </c>
      <c r="D6" s="4"/>
      <c r="E6" s="4"/>
      <c r="F6" s="3" t="s">
        <v>4</v>
      </c>
      <c r="G6" s="4" t="s">
        <v>5</v>
      </c>
      <c r="H6" s="4"/>
      <c r="I6" s="4"/>
      <c r="J6" s="3" t="s">
        <v>6</v>
      </c>
      <c r="K6" s="4" t="s">
        <v>7</v>
      </c>
      <c r="L6" s="4"/>
      <c r="M6" s="4"/>
      <c r="N6" s="4"/>
    </row>
    <row r="7" spans="2:14">
      <c r="B7" s="3" t="s">
        <v>8</v>
      </c>
      <c r="C7" s="4" t="s">
        <v>9</v>
      </c>
      <c r="D7" s="4"/>
      <c r="E7" s="4"/>
      <c r="F7" s="3" t="s">
        <v>10</v>
      </c>
      <c r="G7" s="4">
        <v>2</v>
      </c>
      <c r="H7" s="4"/>
      <c r="I7" s="4"/>
      <c r="J7" s="3" t="s">
        <v>11</v>
      </c>
      <c r="K7" s="4" t="s">
        <v>12</v>
      </c>
      <c r="L7" s="4"/>
      <c r="M7" s="4"/>
      <c r="N7" s="4"/>
    </row>
    <row r="8" spans="2:14">
      <c r="B8" s="3" t="s">
        <v>13</v>
      </c>
      <c r="C8" s="4" t="s">
        <v>14</v>
      </c>
      <c r="D8" s="4"/>
      <c r="E8" s="4"/>
      <c r="F8" s="4"/>
      <c r="G8" s="4"/>
      <c r="H8" s="4"/>
      <c r="I8" s="3" t="s">
        <v>15</v>
      </c>
      <c r="J8" s="4" t="s">
        <v>16</v>
      </c>
      <c r="K8" s="4"/>
      <c r="L8" s="4"/>
      <c r="M8" s="4"/>
      <c r="N8" s="4"/>
    </row>
    <row r="10" spans="2:14">
      <c r="B10" s="5" t="s">
        <v>17</v>
      </c>
      <c r="C10" s="5"/>
      <c r="D10" s="5"/>
      <c r="E10" s="5"/>
      <c r="F10" s="5" t="s">
        <v>18</v>
      </c>
      <c r="G10" s="5"/>
      <c r="H10" s="5"/>
      <c r="I10" s="5"/>
      <c r="J10" s="5" t="s">
        <v>19</v>
      </c>
      <c r="K10" s="5"/>
      <c r="L10" s="5"/>
      <c r="M10" s="5"/>
      <c r="N10" s="5"/>
    </row>
    <row r="11" spans="2:14">
      <c r="B11" s="6">
        <f>'Daily Summary'!F7</f>
        <v>0</v>
      </c>
      <c r="C11" s="6"/>
      <c r="D11" s="6"/>
      <c r="E11" s="6"/>
      <c r="F11" s="6">
        <f>'Daily Summary'!G7</f>
        <v>0</v>
      </c>
      <c r="G11" s="6"/>
      <c r="H11" s="6"/>
      <c r="I11" s="6"/>
      <c r="J11" s="7">
        <f>'Daily Summary'!L7</f>
        <v>0</v>
      </c>
      <c r="K11" s="7"/>
      <c r="L11" s="7"/>
      <c r="M11" s="7"/>
      <c r="N11" s="7"/>
    </row>
    <row r="12" spans="2:14">
      <c r="B12" s="6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</row>
    <row r="13" spans="2:14">
      <c r="B13" s="6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</row>
    <row r="28" spans="8:14">
      <c r="H28" s="8" t="s">
        <v>67</v>
      </c>
      <c r="I28" s="8"/>
      <c r="J28" s="8"/>
      <c r="K28" s="8"/>
      <c r="L28" s="8"/>
      <c r="M28" s="8"/>
      <c r="N28" s="8"/>
    </row>
    <row r="29" spans="8:14">
      <c r="H29" s="3" t="s">
        <v>68</v>
      </c>
      <c r="I29" s="4" t="s">
        <v>69</v>
      </c>
      <c r="J29" s="4"/>
      <c r="K29" s="4"/>
      <c r="L29" s="4"/>
      <c r="M29" s="4"/>
      <c r="N29" s="4"/>
    </row>
    <row r="30" spans="8:14">
      <c r="H30" s="3" t="s">
        <v>70</v>
      </c>
      <c r="I30" s="4" t="s">
        <v>69</v>
      </c>
      <c r="J30" s="4"/>
      <c r="K30" s="4"/>
      <c r="L30" s="4"/>
      <c r="M30" s="4"/>
      <c r="N30" s="4"/>
    </row>
    <row r="31" spans="8:14">
      <c r="H31" s="3" t="s">
        <v>71</v>
      </c>
      <c r="I31" s="4" t="s">
        <v>39</v>
      </c>
      <c r="J31" s="4"/>
      <c r="K31" s="4"/>
      <c r="L31" s="4"/>
      <c r="M31" s="4"/>
      <c r="N31" s="4"/>
    </row>
    <row r="32" spans="8:14">
      <c r="H32" s="3" t="s">
        <v>72</v>
      </c>
      <c r="I32" s="4" t="s">
        <v>32</v>
      </c>
      <c r="J32" s="4"/>
      <c r="K32" s="4"/>
      <c r="L32" s="4"/>
      <c r="M32" s="4"/>
      <c r="N32" s="4"/>
    </row>
    <row r="34" spans="8:14">
      <c r="H34" s="9" t="s">
        <v>73</v>
      </c>
      <c r="I34" s="9"/>
      <c r="J34" s="9"/>
      <c r="K34" s="9"/>
      <c r="L34" s="9"/>
      <c r="M34" s="9"/>
      <c r="N34" s="9"/>
    </row>
    <row r="35" spans="8:14">
      <c r="H35" s="9"/>
      <c r="I35" s="9"/>
      <c r="J35" s="9"/>
      <c r="K35" s="9"/>
      <c r="L35" s="9"/>
      <c r="M35" s="9"/>
      <c r="N35" s="9"/>
    </row>
    <row r="36" spans="8:14">
      <c r="H36" s="9"/>
      <c r="I36" s="9"/>
      <c r="J36" s="9"/>
      <c r="K36" s="9"/>
      <c r="L36" s="9"/>
      <c r="M36" s="9"/>
      <c r="N36" s="9"/>
    </row>
    <row r="37" spans="8:14">
      <c r="H37" s="9"/>
      <c r="I37" s="9"/>
      <c r="J37" s="9"/>
      <c r="K37" s="9"/>
      <c r="L37" s="9"/>
      <c r="M37" s="9"/>
      <c r="N37" s="9"/>
    </row>
    <row r="38" spans="8:14">
      <c r="H38" s="9"/>
      <c r="I38" s="9"/>
      <c r="J38" s="9"/>
      <c r="K38" s="9"/>
      <c r="L38" s="9"/>
      <c r="M38" s="9"/>
      <c r="N38" s="9"/>
    </row>
  </sheetData>
  <mergeCells count="22">
    <mergeCell ref="B2:N3"/>
    <mergeCell ref="B4:N4"/>
    <mergeCell ref="C6:E6"/>
    <mergeCell ref="G6:I6"/>
    <mergeCell ref="K6:N6"/>
    <mergeCell ref="C7:E7"/>
    <mergeCell ref="G7:I7"/>
    <mergeCell ref="K7:N7"/>
    <mergeCell ref="C8:H8"/>
    <mergeCell ref="J8:N8"/>
    <mergeCell ref="B10:E10"/>
    <mergeCell ref="F10:I10"/>
    <mergeCell ref="J10:N10"/>
    <mergeCell ref="B11:E13"/>
    <mergeCell ref="F11:I13"/>
    <mergeCell ref="J11:N13"/>
    <mergeCell ref="H28:N28"/>
    <mergeCell ref="I29:N29"/>
    <mergeCell ref="I30:N30"/>
    <mergeCell ref="I31:N31"/>
    <mergeCell ref="I32:N32"/>
    <mergeCell ref="H34:N38"/>
  </mergeCells>
  <pageMargins left="0.3" right="0.3" top="0.35" bottom="0.3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4.7109375" customWidth="1"/>
    <col min="3" max="4" width="23.7109375" customWidth="1"/>
    <col min="5" max="6" width="35.7109375" customWidth="1"/>
    <col min="7" max="7" width="13.7109375" customWidth="1"/>
    <col min="8" max="8" width="23.7109375" customWidth="1"/>
    <col min="9" max="9" width="13.7109375" customWidth="1"/>
    <col min="10" max="11" width="11.7109375" customWidth="1"/>
    <col min="12" max="13" width="22.7109375" customWidth="1"/>
    <col min="14" max="15" width="21.7109375" customWidth="1"/>
    <col min="16" max="17" width="52.7109375" customWidth="1"/>
  </cols>
  <sheetData>
    <row r="1" spans="1:17">
      <c r="A1" t="s">
        <v>2</v>
      </c>
      <c r="B1" t="s">
        <v>4</v>
      </c>
      <c r="C1" t="s">
        <v>6</v>
      </c>
      <c r="D1" t="s">
        <v>8</v>
      </c>
      <c r="E1" t="s">
        <v>20</v>
      </c>
      <c r="F1" t="s">
        <v>15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</row>
    <row r="2" spans="1:17">
      <c r="A2" s="10" t="s">
        <v>3</v>
      </c>
      <c r="B2" s="10" t="s">
        <v>5</v>
      </c>
      <c r="C2" s="10" t="s">
        <v>7</v>
      </c>
      <c r="D2" s="10" t="s">
        <v>9</v>
      </c>
      <c r="E2" s="11" t="s">
        <v>14</v>
      </c>
      <c r="F2" s="11" t="s">
        <v>16</v>
      </c>
      <c r="G2" s="12">
        <v>46230</v>
      </c>
      <c r="H2" s="10" t="s">
        <v>32</v>
      </c>
      <c r="I2" s="10" t="s">
        <v>33</v>
      </c>
      <c r="J2" s="10" t="s">
        <v>34</v>
      </c>
      <c r="K2" s="10" t="s">
        <v>35</v>
      </c>
      <c r="L2" s="13">
        <v>5</v>
      </c>
      <c r="M2" s="10" t="s">
        <v>36</v>
      </c>
      <c r="N2" s="13">
        <v>4</v>
      </c>
      <c r="O2" s="13">
        <v>2</v>
      </c>
      <c r="P2" s="11" t="s">
        <v>37</v>
      </c>
      <c r="Q2" s="11" t="s">
        <v>38</v>
      </c>
    </row>
    <row r="3" spans="1:17">
      <c r="A3" s="14" t="s">
        <v>3</v>
      </c>
      <c r="B3" s="14" t="s">
        <v>5</v>
      </c>
      <c r="C3" s="14" t="s">
        <v>7</v>
      </c>
      <c r="D3" s="14" t="s">
        <v>9</v>
      </c>
      <c r="E3" s="15" t="s">
        <v>14</v>
      </c>
      <c r="F3" s="15" t="s">
        <v>16</v>
      </c>
      <c r="G3" s="16">
        <v>46231</v>
      </c>
      <c r="H3" s="14" t="s">
        <v>32</v>
      </c>
      <c r="I3" s="14" t="s">
        <v>39</v>
      </c>
      <c r="J3" s="14" t="s">
        <v>34</v>
      </c>
      <c r="K3" s="14" t="s">
        <v>35</v>
      </c>
      <c r="L3" s="17">
        <v>5</v>
      </c>
      <c r="M3" s="14" t="s">
        <v>36</v>
      </c>
      <c r="N3" s="17">
        <v>3</v>
      </c>
      <c r="O3" s="17">
        <v>1</v>
      </c>
      <c r="P3" s="15" t="s">
        <v>40</v>
      </c>
      <c r="Q3" s="1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3.7109375" customWidth="1"/>
    <col min="3" max="3" width="23.7109375" customWidth="1"/>
    <col min="4" max="5" width="12.7109375" customWidth="1"/>
    <col min="6" max="7" width="24.7109375" customWidth="1"/>
    <col min="8" max="8" width="20.7109375" customWidth="1"/>
    <col min="9" max="9" width="52.7109375" customWidth="1"/>
  </cols>
  <sheetData>
    <row r="1" spans="1:9">
      <c r="A1" t="s">
        <v>2</v>
      </c>
      <c r="B1" t="s">
        <v>21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</row>
    <row r="2" spans="1:9">
      <c r="A2" s="10" t="s">
        <v>3</v>
      </c>
      <c r="B2" s="12">
        <v>46230</v>
      </c>
      <c r="C2" s="10" t="s">
        <v>48</v>
      </c>
      <c r="D2" s="10" t="s">
        <v>34</v>
      </c>
      <c r="E2" s="13">
        <v>515</v>
      </c>
      <c r="F2" s="13"/>
      <c r="G2" s="13"/>
      <c r="H2" s="10" t="s">
        <v>49</v>
      </c>
      <c r="I2" s="11"/>
    </row>
    <row r="3" spans="1:9">
      <c r="A3" s="14" t="s">
        <v>3</v>
      </c>
      <c r="B3" s="16">
        <v>46230</v>
      </c>
      <c r="C3" s="14" t="s">
        <v>50</v>
      </c>
      <c r="D3" s="14" t="s">
        <v>51</v>
      </c>
      <c r="E3" s="17">
        <v>520</v>
      </c>
      <c r="F3" s="17"/>
      <c r="G3" s="17"/>
      <c r="H3" s="14" t="s">
        <v>52</v>
      </c>
      <c r="I3" s="15"/>
    </row>
    <row r="4" spans="1:9">
      <c r="A4" s="10" t="s">
        <v>3</v>
      </c>
      <c r="B4" s="12">
        <v>46231</v>
      </c>
      <c r="C4" s="10" t="s">
        <v>48</v>
      </c>
      <c r="D4" s="10" t="s">
        <v>34</v>
      </c>
      <c r="E4" s="13">
        <v>515</v>
      </c>
      <c r="F4" s="13"/>
      <c r="G4" s="13"/>
      <c r="H4" s="10" t="s">
        <v>49</v>
      </c>
      <c r="I4" s="11"/>
    </row>
    <row r="5" spans="1:9">
      <c r="A5" s="14" t="s">
        <v>3</v>
      </c>
      <c r="B5" s="16">
        <v>46231</v>
      </c>
      <c r="C5" s="14" t="s">
        <v>50</v>
      </c>
      <c r="D5" s="14" t="s">
        <v>51</v>
      </c>
      <c r="E5" s="17">
        <v>520</v>
      </c>
      <c r="F5" s="17"/>
      <c r="G5" s="17"/>
      <c r="H5" s="14" t="s">
        <v>49</v>
      </c>
      <c r="I5" s="1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12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4.7109375" customWidth="1"/>
    <col min="2" max="2" width="13.7109375" customWidth="1"/>
    <col min="3" max="3" width="23.7109375" customWidth="1"/>
    <col min="4" max="11" width="18.7109375" customWidth="1"/>
    <col min="12" max="12" width="25.7109375" customWidth="1"/>
  </cols>
  <sheetData>
    <row r="1" spans="1:12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2" t="s">
        <v>54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spans="1:12">
      <c r="A5" t="s">
        <v>2</v>
      </c>
      <c r="B5" t="s">
        <v>21</v>
      </c>
      <c r="C5" t="s">
        <v>22</v>
      </c>
      <c r="D5" t="s">
        <v>23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</row>
    <row r="6" spans="1:12">
      <c r="A6" s="14">
        <f>'Day Records'!A2</f>
        <v>0</v>
      </c>
      <c r="B6" s="16">
        <f>'Day Records'!G2</f>
        <v>0</v>
      </c>
      <c r="C6" s="14">
        <f>'Day Records'!M2</f>
        <v>0</v>
      </c>
      <c r="D6" s="14">
        <f>'Day Records'!N2</f>
        <v>0</v>
      </c>
      <c r="E6" s="14">
        <f>'Day Records'!M2</f>
        <v>0</v>
      </c>
      <c r="F6" s="17">
        <f>IF('Day Records'!H2="Interval detail",SUMIFS('Interval Data'!F:F,'Interval Data'!B:B,B6),'Day Records'!I2)</f>
        <v>0</v>
      </c>
      <c r="G6" s="17">
        <f>IF('Day Records'!H2="Interval detail",SUMIFS('Interval Data'!G:G,'Interval Data'!B:B,B6),'Day Records'!J2)</f>
        <v>0</v>
      </c>
      <c r="H6" s="17">
        <f>COUNTIFS('Interval Data'!B:B,B6,'Interval Data'!H:H,"+")</f>
        <v>0</v>
      </c>
      <c r="I6" s="17">
        <f>COUNTIFS('Interval Data'!B:B,B6,'Interval Data'!H:H,"-")</f>
        <v>0</v>
      </c>
      <c r="J6" s="17">
        <f>COUNTIFS('Interval Data'!B:B,B6,'Interval Data'!H:H,"Ø")</f>
        <v>0</v>
      </c>
      <c r="K6" s="17">
        <f>H6+I6</f>
        <v>0</v>
      </c>
      <c r="L6" s="18">
        <f>IF(K6=0,NA(),H6/K6)</f>
        <v>0</v>
      </c>
    </row>
    <row r="7" spans="1:12">
      <c r="A7" s="10">
        <f>'Day Records'!A3</f>
        <v>0</v>
      </c>
      <c r="B7" s="12">
        <f>'Day Records'!G3</f>
        <v>0</v>
      </c>
      <c r="C7" s="10">
        <f>'Day Records'!M3</f>
        <v>0</v>
      </c>
      <c r="D7" s="10">
        <f>'Day Records'!N3</f>
        <v>0</v>
      </c>
      <c r="E7" s="10">
        <f>'Day Records'!M3</f>
        <v>0</v>
      </c>
      <c r="F7" s="13">
        <f>IF('Day Records'!H3="Interval detail",SUMIFS('Interval Data'!F:F,'Interval Data'!B:B,B7),'Day Records'!I3)</f>
        <v>0</v>
      </c>
      <c r="G7" s="13">
        <f>IF('Day Records'!H3="Interval detail",SUMIFS('Interval Data'!G:G,'Interval Data'!B:B,B7),'Day Records'!J3)</f>
        <v>0</v>
      </c>
      <c r="H7" s="13">
        <f>COUNTIFS('Interval Data'!B:B,B7,'Interval Data'!H:H,"+")</f>
        <v>0</v>
      </c>
      <c r="I7" s="13">
        <f>COUNTIFS('Interval Data'!B:B,B7,'Interval Data'!H:H,"-")</f>
        <v>0</v>
      </c>
      <c r="J7" s="13">
        <f>COUNTIFS('Interval Data'!B:B,B7,'Interval Data'!H:H,"Ø")</f>
        <v>0</v>
      </c>
      <c r="K7" s="13">
        <f>H7+I7</f>
        <v>0</v>
      </c>
      <c r="L7" s="19">
        <f>IF(K7=0,NA(),H7/K7)</f>
        <v>0</v>
      </c>
    </row>
    <row r="10" spans="1:12">
      <c r="A10" s="9" t="s">
        <v>63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</sheetData>
  <mergeCells count="3">
    <mergeCell ref="A1:L2"/>
    <mergeCell ref="A3:L3"/>
    <mergeCell ref="A10:L1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8F83"/>
  </sheetPr>
  <dimension ref="A1:N6"/>
  <sheetViews>
    <sheetView showGridLines="0" workbookViewId="0"/>
  </sheetViews>
  <sheetFormatPr defaultRowHeight="15"/>
  <cols>
    <col min="1" max="14" width="11.7109375" customWidth="1"/>
  </cols>
  <sheetData>
    <row r="1" spans="1:14" ht="25" customHeight="1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2" t="s">
        <v>65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1:14">
      <c r="A5" s="9" t="s">
        <v>66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</sheetData>
  <mergeCells count="3">
    <mergeCell ref="A1:N2"/>
    <mergeCell ref="A3:N3"/>
    <mergeCell ref="A5:N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3" width="23.7109375" customWidth="1"/>
    <col min="4" max="4" width="30.7109375" customWidth="1"/>
    <col min="5" max="6" width="55.7109375" customWidth="1"/>
    <col min="7" max="7" width="14.7109375" customWidth="1"/>
  </cols>
  <sheetData>
    <row r="1" spans="1:7">
      <c r="A1" t="s">
        <v>21</v>
      </c>
      <c r="B1" t="s">
        <v>2</v>
      </c>
      <c r="C1" t="s">
        <v>22</v>
      </c>
      <c r="D1" t="s">
        <v>15</v>
      </c>
      <c r="E1" t="s">
        <v>74</v>
      </c>
      <c r="F1" t="s">
        <v>75</v>
      </c>
      <c r="G1" t="s">
        <v>76</v>
      </c>
    </row>
    <row r="2" spans="1:7" ht="54" customHeight="1">
      <c r="A2" s="12">
        <v>46230</v>
      </c>
      <c r="B2" s="10" t="s">
        <v>3</v>
      </c>
      <c r="C2" s="10" t="s">
        <v>32</v>
      </c>
      <c r="D2" s="11" t="s">
        <v>16</v>
      </c>
      <c r="E2" s="11" t="s">
        <v>37</v>
      </c>
      <c r="F2" s="11" t="s">
        <v>38</v>
      </c>
      <c r="G2" s="10" t="s">
        <v>33</v>
      </c>
    </row>
    <row r="3" spans="1:7" ht="54" customHeight="1">
      <c r="A3" s="16">
        <v>46231</v>
      </c>
      <c r="B3" s="14" t="s">
        <v>3</v>
      </c>
      <c r="C3" s="14" t="s">
        <v>32</v>
      </c>
      <c r="D3" s="15" t="s">
        <v>16</v>
      </c>
      <c r="E3" s="15" t="s">
        <v>40</v>
      </c>
      <c r="F3" s="15"/>
      <c r="G3" s="14" t="s">
        <v>39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3" width="23.7109375" customWidth="1"/>
    <col min="4" max="4" width="34.7109375" customWidth="1"/>
    <col min="5" max="5" width="22.7109375" customWidth="1"/>
    <col min="6" max="6" width="34.7109375" customWidth="1"/>
    <col min="7" max="7" width="22.7109375" customWidth="1"/>
    <col min="8" max="8" width="14.7109375" customWidth="1"/>
  </cols>
  <sheetData>
    <row r="1" spans="1:8">
      <c r="A1" t="s">
        <v>21</v>
      </c>
      <c r="B1" t="s">
        <v>2</v>
      </c>
      <c r="C1" t="s">
        <v>22</v>
      </c>
      <c r="D1" t="s">
        <v>77</v>
      </c>
      <c r="E1" t="s">
        <v>78</v>
      </c>
      <c r="F1" t="s">
        <v>79</v>
      </c>
      <c r="G1" t="s">
        <v>80</v>
      </c>
      <c r="H1" t="s">
        <v>23</v>
      </c>
    </row>
    <row r="2" spans="1:8" ht="74" customHeight="1">
      <c r="A2" s="12">
        <v>46230</v>
      </c>
      <c r="B2" s="10" t="s">
        <v>3</v>
      </c>
      <c r="C2" s="10" t="s">
        <v>32</v>
      </c>
      <c r="D2" s="10" t="s">
        <v>69</v>
      </c>
      <c r="E2" s="10"/>
      <c r="F2" s="10" t="s">
        <v>69</v>
      </c>
      <c r="G2" s="10"/>
      <c r="H2" s="10" t="s">
        <v>33</v>
      </c>
    </row>
    <row r="3" spans="1:8" ht="74" customHeight="1">
      <c r="A3" s="16">
        <v>46231</v>
      </c>
      <c r="B3" s="14" t="s">
        <v>3</v>
      </c>
      <c r="C3" s="14" t="s">
        <v>32</v>
      </c>
      <c r="D3" s="14" t="s">
        <v>69</v>
      </c>
      <c r="E3" s="14"/>
      <c r="F3" s="14" t="s">
        <v>69</v>
      </c>
      <c r="G3" s="14"/>
      <c r="H3" s="14" t="s">
        <v>39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showGridLines="0" workbookViewId="0"/>
  </sheetViews>
  <sheetFormatPr defaultRowHeight="15"/>
  <cols>
    <col min="1" max="1" width="30.7109375" customWidth="1"/>
    <col min="2" max="2" width="20.7109375" customWidth="1"/>
    <col min="3" max="3" width="95.7109375" customWidth="1"/>
  </cols>
  <sheetData>
    <row r="1" spans="1:3" ht="34" customHeight="1">
      <c r="A1" s="20" t="s">
        <v>81</v>
      </c>
      <c r="B1" s="20" t="s">
        <v>82</v>
      </c>
      <c r="C1" s="20" t="s">
        <v>83</v>
      </c>
    </row>
    <row r="2" spans="1:3" ht="68" customHeight="1">
      <c r="A2" s="11" t="s">
        <v>84</v>
      </c>
      <c r="B2" s="11" t="s">
        <v>85</v>
      </c>
      <c r="C2" s="11" t="s">
        <v>86</v>
      </c>
    </row>
    <row r="3" spans="1:3" ht="68" customHeight="1">
      <c r="A3" s="15" t="s">
        <v>87</v>
      </c>
      <c r="B3" s="15" t="s">
        <v>85</v>
      </c>
      <c r="C3" s="15" t="s">
        <v>88</v>
      </c>
    </row>
    <row r="4" spans="1:3" ht="68" customHeight="1">
      <c r="A4" s="11" t="s">
        <v>89</v>
      </c>
      <c r="B4" s="11" t="s">
        <v>90</v>
      </c>
      <c r="C4" s="11" t="s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92</v>
      </c>
    </row>
    <row r="2" spans="1:1">
      <c r="A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Student Dashboard</vt:lpstr>
      <vt:lpstr>Day Records</vt:lpstr>
      <vt:lpstr>Interval Data</vt:lpstr>
      <vt:lpstr>Daily Summary</vt:lpstr>
      <vt:lpstr>Behavior Trends</vt:lpstr>
      <vt:lpstr>Clinical Notes</vt:lpstr>
      <vt:lpstr>Signatures</vt:lpstr>
      <vt:lpstr>Definitions &amp; Directions</vt:lpstr>
      <vt:lpstr>_App Metadata</vt:lpstr>
      <vt:lpstr>Signatures!Print_Titles</vt:lpstr>
    </vt:vector>
  </TitlesOfParts>
  <Company>Archway Programs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Behavior Data Collection Continuing Record</dc:title>
  <dc:subject>Longitudinal behavior data and progress monitoring</dc:subject>
  <dc:creator>Archway Programs</dc:creator>
  <dc:description>Generated by the Behavior Data Collection workbook generator.</dc:description>
  <cp:lastModifiedBy>Archway Programs</cp:lastModifiedBy>
  <dcterms:created xsi:type="dcterms:W3CDTF">2026-07-27T23:34:19Z</dcterms:created>
  <dcterms:modified xsi:type="dcterms:W3CDTF">2026-07-27T23:34:19Z</dcterms:modified>
</cp:coreProperties>
</file>